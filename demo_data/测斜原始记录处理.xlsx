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0500" tabRatio="514"/>
  </bookViews>
  <sheets>
    <sheet name="初始" sheetId="2" r:id="rId1"/>
    <sheet name="Sheet1" sheetId="1" r:id="rId2"/>
  </sheets>
  <definedNames>
    <definedName name="_xlnm.Print_Area" localSheetId="1">Sheet1!$A$1:$N$54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<sst xmlns="http://schemas.openxmlformats.org/spreadsheetml/2006/main" count="22" uniqueCount="8">
  <si>
    <t>深度/m</t>
  </si>
  <si>
    <t>A0</t>
  </si>
  <si>
    <t>A180</t>
  </si>
  <si>
    <t>A0+A180</t>
  </si>
  <si>
    <t>(A0-A180)/2</t>
  </si>
  <si>
    <t>Profile</t>
  </si>
  <si>
    <t>ProfileK</t>
  </si>
  <si>
    <t>初始A0的基础上上下随机变化，变化的话0-10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</si>
</sst>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仿宋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58" fontId="0" fillId="0" borderId="0" xfId="0" applyNumberFormat="1" applyAlignment="1">
      <alignment horizontal="center" vertical="center"/>
    </xf>
    <xf numFmtId="176" fontId="3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2"/>
  <sheetViews>
    <sheetView tabSelected="1" workbookViewId="0">
      <selection activeCell="H6" sqref="H6"/>
    </sheetView>
  </sheetViews>
  <sheetFormatPr defaultColWidth="9" defaultRowHeight="16.8"/>
  <cols>
    <col min="5" max="5" width="12.375" customWidth="1"/>
    <col min="7" max="7" width="10"/>
  </cols>
  <sheetData>
    <row r="1" ht="17" spans="1:18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"/>
      <c r="I1" s="13">
        <v>45658</v>
      </c>
      <c r="J1" s="13">
        <v>45659</v>
      </c>
      <c r="K1" s="13">
        <v>45660</v>
      </c>
      <c r="L1" s="13">
        <v>45661</v>
      </c>
      <c r="M1" s="13">
        <v>45662</v>
      </c>
      <c r="N1" s="13">
        <v>45663</v>
      </c>
      <c r="O1" s="13">
        <v>45664</v>
      </c>
      <c r="P1" s="13">
        <v>45665</v>
      </c>
      <c r="Q1" s="13">
        <v>45666</v>
      </c>
      <c r="R1" s="13">
        <v>45667</v>
      </c>
    </row>
    <row r="2" spans="1:18">
      <c r="A2" s="9">
        <v>0.5</v>
      </c>
      <c r="B2" s="6">
        <v>25.54</v>
      </c>
      <c r="C2" s="6">
        <v>-27.74</v>
      </c>
      <c r="D2" s="6">
        <v>-2.2</v>
      </c>
      <c r="E2" s="6">
        <v>26.64</v>
      </c>
      <c r="F2" s="6">
        <v>225.25</v>
      </c>
      <c r="G2" s="6">
        <v>-26.64</v>
      </c>
      <c r="H2" s="1"/>
      <c r="I2" s="6">
        <v>1.28</v>
      </c>
      <c r="J2" s="14">
        <v>1.92</v>
      </c>
      <c r="K2" s="14">
        <v>1.68</v>
      </c>
      <c r="L2" s="14">
        <v>2.21</v>
      </c>
      <c r="M2" s="14">
        <v>3.23</v>
      </c>
      <c r="N2" s="14">
        <v>4.28</v>
      </c>
      <c r="O2" s="14">
        <v>4.78</v>
      </c>
      <c r="P2" s="14">
        <v>5.26</v>
      </c>
      <c r="Q2" s="14">
        <v>6.39</v>
      </c>
      <c r="R2" s="14">
        <v>6.9</v>
      </c>
    </row>
    <row r="3" spans="1:18">
      <c r="A3" s="9">
        <v>1</v>
      </c>
      <c r="B3" s="6">
        <v>21.99</v>
      </c>
      <c r="C3" s="6">
        <v>-24.17</v>
      </c>
      <c r="D3" s="6">
        <v>-2.18</v>
      </c>
      <c r="E3" s="6">
        <v>23.08</v>
      </c>
      <c r="F3" s="6">
        <v>198.61</v>
      </c>
      <c r="G3" s="6">
        <v>-49.72</v>
      </c>
      <c r="H3" s="6"/>
      <c r="I3" s="6">
        <v>1.95999999999998</v>
      </c>
      <c r="J3" s="14">
        <v>1.85</v>
      </c>
      <c r="K3" s="14">
        <v>1.61</v>
      </c>
      <c r="L3" s="14">
        <v>2.12</v>
      </c>
      <c r="M3" s="14">
        <v>3.14</v>
      </c>
      <c r="N3" s="14">
        <v>4.17</v>
      </c>
      <c r="O3" s="14">
        <v>4.66</v>
      </c>
      <c r="P3" s="14">
        <v>5.13</v>
      </c>
      <c r="Q3" s="14">
        <v>6.26</v>
      </c>
      <c r="R3" s="14">
        <v>6.76</v>
      </c>
    </row>
    <row r="4" spans="1:18">
      <c r="A4" s="9">
        <v>1.5</v>
      </c>
      <c r="B4" s="6">
        <v>18.06</v>
      </c>
      <c r="C4" s="6">
        <v>-19.76</v>
      </c>
      <c r="D4" s="6">
        <v>-1.7</v>
      </c>
      <c r="E4" s="6">
        <v>18.91</v>
      </c>
      <c r="F4" s="6">
        <v>175.53</v>
      </c>
      <c r="G4" s="6">
        <v>-68.63</v>
      </c>
      <c r="H4" s="6"/>
      <c r="I4" s="6">
        <v>2.66499999999999</v>
      </c>
      <c r="J4" s="14">
        <v>1.81</v>
      </c>
      <c r="K4" s="14">
        <v>1.58</v>
      </c>
      <c r="L4" s="14">
        <v>2.07</v>
      </c>
      <c r="M4" s="14">
        <v>3.05</v>
      </c>
      <c r="N4" s="14">
        <v>4.06</v>
      </c>
      <c r="O4" s="14">
        <v>4.53</v>
      </c>
      <c r="P4" s="14">
        <v>4.99</v>
      </c>
      <c r="Q4" s="14">
        <v>6.07</v>
      </c>
      <c r="R4" s="14">
        <v>6.53</v>
      </c>
    </row>
    <row r="5" spans="1:18">
      <c r="A5" s="9">
        <v>2</v>
      </c>
      <c r="B5" s="6">
        <v>10.82</v>
      </c>
      <c r="C5" s="6">
        <v>-13.44</v>
      </c>
      <c r="D5" s="6">
        <v>-2.62</v>
      </c>
      <c r="E5" s="6">
        <v>12.13</v>
      </c>
      <c r="F5" s="6">
        <v>156.62</v>
      </c>
      <c r="G5" s="6">
        <v>-80.76</v>
      </c>
      <c r="H5" s="6"/>
      <c r="I5" s="6">
        <v>3.155</v>
      </c>
      <c r="J5" s="14">
        <v>1.69</v>
      </c>
      <c r="K5" s="14">
        <v>1.48</v>
      </c>
      <c r="L5" s="14">
        <v>1.92</v>
      </c>
      <c r="M5" s="14">
        <v>2.82</v>
      </c>
      <c r="N5" s="14">
        <v>3.73</v>
      </c>
      <c r="O5" s="14">
        <v>4.17</v>
      </c>
      <c r="P5" s="14">
        <v>4.59</v>
      </c>
      <c r="Q5" s="14">
        <v>5.59</v>
      </c>
      <c r="R5" s="14">
        <v>6.04</v>
      </c>
    </row>
    <row r="6" spans="1:18">
      <c r="A6" s="9">
        <v>2.5</v>
      </c>
      <c r="B6" s="6">
        <v>9.32</v>
      </c>
      <c r="C6" s="6">
        <v>-11.32</v>
      </c>
      <c r="D6" s="6">
        <v>-2</v>
      </c>
      <c r="E6" s="6">
        <v>10.32</v>
      </c>
      <c r="F6" s="6">
        <v>144.49</v>
      </c>
      <c r="G6" s="6">
        <v>-91.08</v>
      </c>
      <c r="H6" s="6"/>
      <c r="I6" s="6">
        <v>3.655</v>
      </c>
      <c r="J6" s="14">
        <v>1.44</v>
      </c>
      <c r="K6" s="14">
        <v>1.26</v>
      </c>
      <c r="L6" s="14">
        <v>1.65</v>
      </c>
      <c r="M6" s="14">
        <v>2.43</v>
      </c>
      <c r="N6" s="14">
        <v>3.22</v>
      </c>
      <c r="O6" s="14">
        <v>3.59</v>
      </c>
      <c r="P6" s="14">
        <v>3.95</v>
      </c>
      <c r="Q6" s="14">
        <v>4.82</v>
      </c>
      <c r="R6" s="14">
        <v>5.18</v>
      </c>
    </row>
    <row r="7" spans="1:18">
      <c r="A7" s="9">
        <v>3</v>
      </c>
      <c r="B7" s="6">
        <v>7.79</v>
      </c>
      <c r="C7" s="6">
        <v>-9.96</v>
      </c>
      <c r="D7" s="6">
        <v>-2.17</v>
      </c>
      <c r="E7" s="6">
        <v>8.875</v>
      </c>
      <c r="F7" s="6">
        <v>134.17</v>
      </c>
      <c r="G7" s="6">
        <v>-99.955</v>
      </c>
      <c r="H7" s="6"/>
      <c r="I7" s="6">
        <v>3.96000000000001</v>
      </c>
      <c r="J7" s="14">
        <v>1.31</v>
      </c>
      <c r="K7" s="14">
        <v>1.14</v>
      </c>
      <c r="L7" s="14">
        <v>1.48</v>
      </c>
      <c r="M7" s="14">
        <v>2.18</v>
      </c>
      <c r="N7" s="14">
        <v>2.89</v>
      </c>
      <c r="O7" s="14">
        <v>3.23</v>
      </c>
      <c r="P7" s="14">
        <v>3.56</v>
      </c>
      <c r="Q7" s="14">
        <v>4.33</v>
      </c>
      <c r="R7" s="14">
        <v>4.67</v>
      </c>
    </row>
    <row r="8" spans="1:18">
      <c r="A8" s="9">
        <v>3.5</v>
      </c>
      <c r="B8" s="6">
        <v>7.83</v>
      </c>
      <c r="C8" s="6">
        <v>-9.96</v>
      </c>
      <c r="D8" s="6">
        <v>-2.13</v>
      </c>
      <c r="E8" s="6">
        <v>8.895</v>
      </c>
      <c r="F8" s="6">
        <v>125.295</v>
      </c>
      <c r="G8" s="6">
        <v>-108.85</v>
      </c>
      <c r="H8" s="6"/>
      <c r="I8" s="6">
        <v>4.08</v>
      </c>
      <c r="J8" s="14">
        <v>0.92</v>
      </c>
      <c r="K8" s="14">
        <v>0.8</v>
      </c>
      <c r="L8" s="14">
        <v>1.04</v>
      </c>
      <c r="M8" s="14">
        <v>1.53</v>
      </c>
      <c r="N8" s="14">
        <v>2.04</v>
      </c>
      <c r="O8" s="14">
        <v>2.29</v>
      </c>
      <c r="P8" s="14">
        <v>2.52</v>
      </c>
      <c r="Q8" s="14">
        <v>3.08</v>
      </c>
      <c r="R8" s="14">
        <v>3.33</v>
      </c>
    </row>
    <row r="9" spans="1:18">
      <c r="A9" s="9">
        <v>4</v>
      </c>
      <c r="B9" s="6">
        <v>6.96</v>
      </c>
      <c r="C9" s="6">
        <v>-9.03</v>
      </c>
      <c r="D9" s="6">
        <v>-2.07</v>
      </c>
      <c r="E9" s="6">
        <v>7.995</v>
      </c>
      <c r="F9" s="6">
        <v>116.4</v>
      </c>
      <c r="G9" s="6">
        <v>-116.845</v>
      </c>
      <c r="H9" s="6"/>
      <c r="I9" s="6">
        <v>3.91999999999999</v>
      </c>
      <c r="J9" s="14">
        <v>0.78</v>
      </c>
      <c r="K9" s="14">
        <v>0.68</v>
      </c>
      <c r="L9" s="14">
        <v>0.91</v>
      </c>
      <c r="M9" s="14">
        <v>1.35</v>
      </c>
      <c r="N9" s="14">
        <v>1.78</v>
      </c>
      <c r="O9" s="14">
        <v>1.97</v>
      </c>
      <c r="P9" s="14">
        <v>2.17</v>
      </c>
      <c r="Q9" s="14">
        <v>2.65</v>
      </c>
      <c r="R9" s="14">
        <v>2.85</v>
      </c>
    </row>
    <row r="10" spans="1:18">
      <c r="A10" s="9">
        <v>4.5</v>
      </c>
      <c r="B10" s="6">
        <v>6.59</v>
      </c>
      <c r="C10" s="6">
        <v>-8.55</v>
      </c>
      <c r="D10" s="6">
        <v>-1.96</v>
      </c>
      <c r="E10" s="6">
        <v>7.57</v>
      </c>
      <c r="F10" s="6">
        <v>108.405</v>
      </c>
      <c r="G10" s="6">
        <v>-124.415</v>
      </c>
      <c r="H10" s="6"/>
      <c r="I10" s="6">
        <v>3.38</v>
      </c>
      <c r="J10" s="14">
        <v>0.58</v>
      </c>
      <c r="K10" s="14">
        <v>0.51</v>
      </c>
      <c r="L10" s="14">
        <v>0.69</v>
      </c>
      <c r="M10" s="14">
        <v>1.02</v>
      </c>
      <c r="N10" s="14">
        <v>1.34</v>
      </c>
      <c r="O10" s="14">
        <v>1.5</v>
      </c>
      <c r="P10" s="14">
        <v>1.67</v>
      </c>
      <c r="Q10" s="14">
        <v>2.03</v>
      </c>
      <c r="R10" s="14">
        <v>2.18</v>
      </c>
    </row>
    <row r="11" spans="1:18">
      <c r="A11" s="9">
        <v>5</v>
      </c>
      <c r="B11" s="6">
        <v>4.19</v>
      </c>
      <c r="C11" s="6">
        <v>-6.28</v>
      </c>
      <c r="D11" s="6">
        <v>-2.09</v>
      </c>
      <c r="E11" s="6">
        <v>5.235</v>
      </c>
      <c r="F11" s="6">
        <v>100.835</v>
      </c>
      <c r="G11" s="6">
        <v>-129.65</v>
      </c>
      <c r="H11" s="6"/>
      <c r="I11" s="6">
        <v>2.83000000000001</v>
      </c>
      <c r="J11" s="14">
        <v>0.49</v>
      </c>
      <c r="K11" s="14">
        <v>0.42</v>
      </c>
      <c r="L11" s="14">
        <v>0.55</v>
      </c>
      <c r="M11" s="14">
        <v>0.83</v>
      </c>
      <c r="N11" s="14">
        <v>1.12</v>
      </c>
      <c r="O11" s="14">
        <v>1.26</v>
      </c>
      <c r="P11" s="14">
        <v>1.39</v>
      </c>
      <c r="Q11" s="14">
        <v>1.72</v>
      </c>
      <c r="R11" s="14">
        <v>1.86</v>
      </c>
    </row>
    <row r="12" spans="1:18">
      <c r="A12" s="9">
        <v>5.5</v>
      </c>
      <c r="B12" s="6">
        <v>5.9</v>
      </c>
      <c r="C12" s="6">
        <v>-7.91</v>
      </c>
      <c r="D12" s="6">
        <v>-2.01</v>
      </c>
      <c r="E12" s="6">
        <v>6.905</v>
      </c>
      <c r="F12" s="6">
        <v>95.6</v>
      </c>
      <c r="G12" s="6">
        <v>-136.555</v>
      </c>
      <c r="H12" s="6"/>
      <c r="I12" s="6">
        <v>2.325</v>
      </c>
      <c r="J12" s="14">
        <v>0.4</v>
      </c>
      <c r="K12" s="14">
        <v>0.35</v>
      </c>
      <c r="L12" s="14">
        <v>0.46</v>
      </c>
      <c r="M12" s="14">
        <v>0.67</v>
      </c>
      <c r="N12" s="14">
        <v>0.89</v>
      </c>
      <c r="O12" s="14">
        <v>0.99</v>
      </c>
      <c r="P12" s="14">
        <v>1.1</v>
      </c>
      <c r="Q12" s="14">
        <v>1.31</v>
      </c>
      <c r="R12" s="14">
        <v>1.43</v>
      </c>
    </row>
    <row r="13" spans="1:18">
      <c r="A13" s="9">
        <v>6</v>
      </c>
      <c r="B13" s="6">
        <v>10.66</v>
      </c>
      <c r="C13" s="6">
        <v>-12.86</v>
      </c>
      <c r="D13" s="6">
        <v>-2.2</v>
      </c>
      <c r="E13" s="6">
        <v>11.76</v>
      </c>
      <c r="F13" s="6">
        <v>88.695</v>
      </c>
      <c r="G13" s="6">
        <v>-148.315</v>
      </c>
      <c r="H13" s="6"/>
      <c r="I13" s="6">
        <v>1.84500000000001</v>
      </c>
      <c r="J13" s="14">
        <v>0.28</v>
      </c>
      <c r="K13" s="14">
        <v>0.25</v>
      </c>
      <c r="L13" s="14">
        <v>0.31</v>
      </c>
      <c r="M13" s="14">
        <v>0.47</v>
      </c>
      <c r="N13" s="14">
        <v>0.62</v>
      </c>
      <c r="O13" s="14">
        <v>0.71</v>
      </c>
      <c r="P13" s="14">
        <v>0.77</v>
      </c>
      <c r="Q13" s="14">
        <v>0.95</v>
      </c>
      <c r="R13" s="14">
        <v>1.04</v>
      </c>
    </row>
    <row r="14" spans="1:18">
      <c r="A14" s="9">
        <v>6.5</v>
      </c>
      <c r="B14" s="6">
        <v>8.45</v>
      </c>
      <c r="C14" s="6">
        <v>-10.6</v>
      </c>
      <c r="D14" s="6">
        <v>-2.15</v>
      </c>
      <c r="E14" s="6">
        <v>9.525</v>
      </c>
      <c r="F14" s="6">
        <v>76.935</v>
      </c>
      <c r="G14" s="6">
        <v>-157.84</v>
      </c>
      <c r="H14" s="6"/>
      <c r="I14" s="6">
        <v>1.505</v>
      </c>
      <c r="J14" s="14">
        <v>0.08</v>
      </c>
      <c r="K14" s="14">
        <v>0.05</v>
      </c>
      <c r="L14" s="14">
        <v>0.1</v>
      </c>
      <c r="M14" s="14">
        <v>0.19</v>
      </c>
      <c r="N14" s="14">
        <v>0.26</v>
      </c>
      <c r="O14" s="14">
        <v>0.3</v>
      </c>
      <c r="P14" s="14">
        <v>0.33</v>
      </c>
      <c r="Q14" s="14">
        <v>0.45</v>
      </c>
      <c r="R14" s="14">
        <v>0.5</v>
      </c>
    </row>
    <row r="15" spans="1:18">
      <c r="A15" s="9">
        <v>7</v>
      </c>
      <c r="B15" s="6">
        <v>7.95</v>
      </c>
      <c r="C15" s="6">
        <v>-10.08</v>
      </c>
      <c r="D15" s="6">
        <v>-2.13</v>
      </c>
      <c r="E15" s="6">
        <v>9.015</v>
      </c>
      <c r="F15" s="6">
        <v>67.41</v>
      </c>
      <c r="G15" s="6">
        <v>-166.855</v>
      </c>
      <c r="H15" s="6"/>
      <c r="I15" s="6">
        <v>1.23</v>
      </c>
      <c r="J15" s="14">
        <v>0.12</v>
      </c>
      <c r="K15" s="14">
        <v>0.11</v>
      </c>
      <c r="L15" s="14">
        <v>0.15</v>
      </c>
      <c r="M15" s="14">
        <v>0.2</v>
      </c>
      <c r="N15" s="14">
        <v>0.28</v>
      </c>
      <c r="O15" s="14">
        <v>0.31</v>
      </c>
      <c r="P15" s="14">
        <v>0.34</v>
      </c>
      <c r="Q15" s="14">
        <v>0.41</v>
      </c>
      <c r="R15" s="14">
        <v>0.43</v>
      </c>
    </row>
    <row r="16" spans="1:18">
      <c r="A16" s="9">
        <v>7.5</v>
      </c>
      <c r="B16" s="6">
        <v>8.51</v>
      </c>
      <c r="C16" s="6">
        <v>-10.67</v>
      </c>
      <c r="D16" s="6">
        <v>-2.16</v>
      </c>
      <c r="E16" s="6">
        <v>9.59</v>
      </c>
      <c r="F16" s="6">
        <v>58.395</v>
      </c>
      <c r="G16" s="6">
        <v>-176.445</v>
      </c>
      <c r="H16" s="6"/>
      <c r="I16" s="6">
        <v>0.969999999999999</v>
      </c>
      <c r="J16" s="14">
        <v>0.06</v>
      </c>
      <c r="K16" s="14">
        <v>0.05</v>
      </c>
      <c r="L16" s="14">
        <v>0.08</v>
      </c>
      <c r="M16" s="14">
        <v>0.1</v>
      </c>
      <c r="N16" s="14">
        <v>0.13</v>
      </c>
      <c r="O16" s="14">
        <v>0.15</v>
      </c>
      <c r="P16" s="14">
        <v>0.16</v>
      </c>
      <c r="Q16" s="14">
        <v>0.19</v>
      </c>
      <c r="R16" s="14">
        <v>0.19</v>
      </c>
    </row>
    <row r="17" spans="1:18">
      <c r="A17" s="9">
        <v>8</v>
      </c>
      <c r="B17" s="6">
        <v>15.06</v>
      </c>
      <c r="C17" s="6">
        <v>-17.22</v>
      </c>
      <c r="D17" s="6">
        <v>-2.16</v>
      </c>
      <c r="E17" s="6">
        <v>16.14</v>
      </c>
      <c r="F17" s="6">
        <v>48.805</v>
      </c>
      <c r="G17" s="6">
        <v>-192.585</v>
      </c>
      <c r="H17" s="6"/>
      <c r="I17" s="6">
        <v>0.884999999999998</v>
      </c>
      <c r="J17" s="14">
        <v>0.09</v>
      </c>
      <c r="K17" s="14">
        <v>0.07</v>
      </c>
      <c r="L17" s="14">
        <v>0.11</v>
      </c>
      <c r="M17" s="14">
        <v>0.14</v>
      </c>
      <c r="N17" s="14">
        <v>0.2</v>
      </c>
      <c r="O17" s="14">
        <v>0.21</v>
      </c>
      <c r="P17" s="14">
        <v>0.22</v>
      </c>
      <c r="Q17" s="14">
        <v>0.29</v>
      </c>
      <c r="R17" s="14">
        <v>0.29</v>
      </c>
    </row>
    <row r="18" spans="1:18">
      <c r="A18" s="9">
        <v>8.5</v>
      </c>
      <c r="B18" s="6">
        <v>9.77</v>
      </c>
      <c r="C18" s="6">
        <v>-11.81</v>
      </c>
      <c r="D18" s="6">
        <v>-2.04</v>
      </c>
      <c r="E18" s="6">
        <v>10.79</v>
      </c>
      <c r="F18" s="6">
        <v>32.665</v>
      </c>
      <c r="G18" s="6">
        <v>-203.375</v>
      </c>
      <c r="H18" s="6"/>
      <c r="I18" s="6">
        <v>0.560000000000002</v>
      </c>
      <c r="J18" s="14">
        <v>0.04</v>
      </c>
      <c r="K18" s="14">
        <v>0.04</v>
      </c>
      <c r="L18" s="14">
        <v>0.07</v>
      </c>
      <c r="M18" s="14">
        <v>0.08</v>
      </c>
      <c r="N18" s="14">
        <v>0.1</v>
      </c>
      <c r="O18" s="14">
        <v>0.1</v>
      </c>
      <c r="P18" s="14">
        <v>0.1</v>
      </c>
      <c r="Q18" s="14">
        <v>0.11</v>
      </c>
      <c r="R18" s="14">
        <v>0.1</v>
      </c>
    </row>
    <row r="19" spans="1:18">
      <c r="A19" s="9">
        <v>9</v>
      </c>
      <c r="B19" s="6">
        <v>4.27</v>
      </c>
      <c r="C19" s="6">
        <v>-6.33</v>
      </c>
      <c r="D19" s="6">
        <v>-2.06</v>
      </c>
      <c r="E19" s="6">
        <v>5.3</v>
      </c>
      <c r="F19" s="6">
        <v>21.875</v>
      </c>
      <c r="G19" s="6">
        <v>-208.675</v>
      </c>
      <c r="H19" s="6"/>
      <c r="I19" s="6">
        <v>0.324999999999999</v>
      </c>
      <c r="J19" s="14">
        <v>-0.01</v>
      </c>
      <c r="K19" s="14">
        <v>-0.01</v>
      </c>
      <c r="L19" s="14">
        <v>0.01</v>
      </c>
      <c r="M19" s="14">
        <v>0.02</v>
      </c>
      <c r="N19" s="14">
        <v>0.03</v>
      </c>
      <c r="O19" s="14">
        <v>0.05</v>
      </c>
      <c r="P19" s="14">
        <v>0.06</v>
      </c>
      <c r="Q19" s="14">
        <v>0.07</v>
      </c>
      <c r="R19" s="14">
        <v>0.08</v>
      </c>
    </row>
    <row r="20" spans="1:18">
      <c r="A20" s="9">
        <v>9.5</v>
      </c>
      <c r="B20" s="6">
        <v>7.66</v>
      </c>
      <c r="C20" s="6">
        <v>-9.8</v>
      </c>
      <c r="D20" s="6">
        <v>-2.14</v>
      </c>
      <c r="E20" s="6">
        <v>8.73</v>
      </c>
      <c r="F20" s="6">
        <v>16.575</v>
      </c>
      <c r="G20" s="6">
        <v>-217.405</v>
      </c>
      <c r="H20" s="6"/>
      <c r="I20" s="6">
        <v>0.115000000000002</v>
      </c>
      <c r="J20" s="14">
        <v>0.01</v>
      </c>
      <c r="K20" s="14">
        <v>0.01</v>
      </c>
      <c r="L20" s="14">
        <v>0</v>
      </c>
      <c r="M20" s="14">
        <v>0.01</v>
      </c>
      <c r="N20" s="14">
        <v>0.02</v>
      </c>
      <c r="O20" s="14">
        <v>0.04</v>
      </c>
      <c r="P20" s="14">
        <v>0.05</v>
      </c>
      <c r="Q20" s="14">
        <v>0.03</v>
      </c>
      <c r="R20" s="14">
        <v>0.04</v>
      </c>
    </row>
    <row r="21" spans="1:18">
      <c r="A21" s="9">
        <v>10</v>
      </c>
      <c r="B21" s="6">
        <v>9.68</v>
      </c>
      <c r="C21" s="6">
        <v>-11.69</v>
      </c>
      <c r="D21" s="6">
        <v>-2.01</v>
      </c>
      <c r="E21" s="6">
        <v>10.685</v>
      </c>
      <c r="F21" s="6">
        <v>7.845</v>
      </c>
      <c r="G21" s="6">
        <v>-228.09</v>
      </c>
      <c r="H21" s="6"/>
      <c r="I21" s="6">
        <v>0.22</v>
      </c>
      <c r="J21" s="14">
        <v>0.01</v>
      </c>
      <c r="K21" s="14">
        <v>0.01</v>
      </c>
      <c r="L21" s="14">
        <v>0.01</v>
      </c>
      <c r="M21" s="14">
        <v>0.01</v>
      </c>
      <c r="N21" s="14">
        <v>0.02</v>
      </c>
      <c r="O21" s="14">
        <v>0.05</v>
      </c>
      <c r="P21" s="14">
        <v>0.05</v>
      </c>
      <c r="Q21" s="14">
        <v>0.02</v>
      </c>
      <c r="R21" s="14">
        <v>0.02</v>
      </c>
    </row>
    <row r="22" spans="1:18">
      <c r="H22" s="6"/>
    </row>
    <row r="23" spans="1:18">
      <c r="A23" s="4"/>
      <c r="B23" s="4"/>
      <c r="C23" s="4"/>
      <c r="D23" s="4"/>
      <c r="E23" s="9"/>
      <c r="F23" s="4"/>
      <c r="G23" s="4"/>
    </row>
    <row r="24" spans="1:18">
      <c r="A24" s="4"/>
      <c r="B24" s="4"/>
      <c r="C24" s="4"/>
      <c r="D24" s="4"/>
      <c r="E24" s="9"/>
      <c r="F24" s="15"/>
      <c r="G24" s="4"/>
    </row>
    <row r="25" spans="1:18">
      <c r="A25" s="4"/>
      <c r="B25" s="4"/>
      <c r="C25" s="4"/>
      <c r="D25" s="4"/>
      <c r="E25" s="9"/>
      <c r="F25" s="15"/>
      <c r="G25" s="4"/>
    </row>
    <row r="26" spans="1:18">
      <c r="A26" s="4"/>
      <c r="B26" s="4"/>
      <c r="C26" s="4"/>
      <c r="D26" s="4"/>
      <c r="E26" s="9"/>
      <c r="F26" s="15"/>
      <c r="G26" s="4"/>
    </row>
    <row r="27" spans="1:18">
      <c r="A27" s="4"/>
      <c r="B27" s="4"/>
      <c r="C27" s="4"/>
      <c r="D27" s="4"/>
      <c r="E27" s="9"/>
      <c r="F27" s="15"/>
      <c r="G27" s="4"/>
    </row>
    <row r="28" spans="1:18">
      <c r="A28" s="4"/>
      <c r="B28" s="4"/>
      <c r="C28" s="4"/>
      <c r="D28" s="4"/>
      <c r="E28" s="9"/>
      <c r="F28" s="15"/>
      <c r="G28" s="4"/>
    </row>
    <row r="29" spans="1:18">
      <c r="A29" s="4"/>
      <c r="B29" s="4"/>
      <c r="C29" s="4"/>
      <c r="D29" s="4"/>
      <c r="E29" s="9"/>
      <c r="F29" s="15"/>
      <c r="G29" s="4"/>
    </row>
    <row r="30" spans="1:18">
      <c r="A30" s="4"/>
      <c r="B30" s="4"/>
      <c r="C30" s="4"/>
      <c r="D30" s="4"/>
      <c r="E30" s="9"/>
      <c r="F30" s="15"/>
      <c r="G30" s="4"/>
    </row>
    <row r="31" spans="1:18">
      <c r="A31" s="4"/>
      <c r="B31" s="4"/>
      <c r="C31" s="4"/>
      <c r="D31" s="4"/>
      <c r="E31" s="9"/>
      <c r="F31" s="15"/>
      <c r="G31" s="4"/>
    </row>
    <row r="32" spans="1:18">
      <c r="A32" s="4"/>
      <c r="B32" s="4"/>
      <c r="C32" s="4"/>
      <c r="D32" s="4"/>
      <c r="E32" s="9"/>
      <c r="F32" s="15"/>
      <c r="G32" s="4"/>
    </row>
    <row r="33" spans="1:7">
      <c r="A33" s="4"/>
      <c r="B33" s="4"/>
      <c r="C33" s="4"/>
      <c r="D33" s="4"/>
      <c r="E33" s="9"/>
      <c r="F33" s="15"/>
      <c r="G33" s="4"/>
    </row>
    <row r="34" spans="1:7">
      <c r="A34" s="4"/>
      <c r="B34" s="4"/>
      <c r="C34" s="4"/>
      <c r="D34" s="4"/>
      <c r="E34" s="9"/>
      <c r="F34" s="15"/>
      <c r="G34" s="4"/>
    </row>
    <row r="35" spans="1:7">
      <c r="A35" s="4"/>
      <c r="B35" s="4"/>
      <c r="C35" s="4"/>
      <c r="D35" s="4"/>
      <c r="E35" s="9"/>
      <c r="F35" s="15"/>
      <c r="G35" s="4"/>
    </row>
    <row r="36" spans="1:7">
      <c r="A36" s="4"/>
      <c r="B36" s="4"/>
      <c r="C36" s="4"/>
      <c r="D36" s="4"/>
      <c r="E36" s="9"/>
      <c r="F36" s="15"/>
      <c r="G36" s="4"/>
    </row>
    <row r="37" spans="1:7">
      <c r="A37" s="4"/>
      <c r="B37" s="4"/>
      <c r="C37" s="4"/>
      <c r="D37" s="4"/>
      <c r="E37" s="9"/>
      <c r="F37" s="15"/>
      <c r="G37" s="4"/>
    </row>
    <row r="38" spans="1:7">
      <c r="A38" s="4"/>
      <c r="B38" s="4"/>
      <c r="C38" s="4"/>
      <c r="D38" s="4"/>
      <c r="E38" s="9"/>
      <c r="F38" s="15"/>
      <c r="G38" s="4"/>
    </row>
    <row r="39" spans="1:7">
      <c r="A39" s="4"/>
      <c r="B39" s="4"/>
      <c r="C39" s="4"/>
      <c r="D39" s="4"/>
      <c r="E39" s="9"/>
      <c r="F39" s="15"/>
      <c r="G39" s="4"/>
    </row>
    <row r="40" spans="1:7">
      <c r="A40" s="4"/>
      <c r="B40" s="4"/>
      <c r="C40" s="4"/>
      <c r="D40" s="4"/>
      <c r="E40" s="9"/>
      <c r="F40" s="15"/>
      <c r="G40" s="4"/>
    </row>
    <row r="41" spans="1:7">
      <c r="A41" s="4"/>
      <c r="B41" s="4"/>
      <c r="C41" s="4"/>
      <c r="D41" s="4"/>
      <c r="E41" s="9"/>
      <c r="F41" s="15"/>
      <c r="G41" s="4"/>
    </row>
    <row r="42" spans="1:7">
      <c r="A42" s="4"/>
      <c r="B42" s="4"/>
      <c r="C42" s="4"/>
      <c r="D42" s="4"/>
      <c r="E42" s="9"/>
      <c r="F42" s="15"/>
      <c r="G42" s="4"/>
    </row>
    <row r="43" spans="1:7">
      <c r="A43" s="4"/>
      <c r="B43" s="4"/>
      <c r="C43" s="4"/>
      <c r="D43" s="4"/>
      <c r="E43" s="9"/>
      <c r="F43" s="15"/>
      <c r="G43" s="4"/>
    </row>
    <row r="44" spans="1:7">
      <c r="A44" s="4"/>
      <c r="B44" s="4"/>
      <c r="C44" s="4"/>
      <c r="D44" s="4"/>
      <c r="E44" s="9"/>
      <c r="F44" s="15"/>
      <c r="G44" s="4"/>
    </row>
    <row r="45" spans="1:7">
      <c r="A45" s="4"/>
      <c r="B45" s="4"/>
      <c r="C45" s="4"/>
      <c r="D45" s="4"/>
      <c r="E45" s="9"/>
      <c r="F45" s="15"/>
      <c r="G45" s="4"/>
    </row>
    <row r="46" spans="1:7">
      <c r="A46" s="4"/>
      <c r="B46" s="4"/>
      <c r="C46" s="4"/>
      <c r="D46" s="4"/>
      <c r="E46" s="9"/>
      <c r="F46" s="4"/>
      <c r="G46" s="4"/>
    </row>
    <row r="47" spans="1:7">
      <c r="A47" s="4"/>
      <c r="B47" s="4"/>
      <c r="C47" s="4"/>
      <c r="D47" s="4"/>
      <c r="E47" s="9"/>
      <c r="F47" s="4"/>
      <c r="G47" s="4"/>
    </row>
    <row r="48" spans="1:7">
      <c r="A48" s="4"/>
      <c r="B48" s="4"/>
      <c r="C48" s="4"/>
      <c r="D48" s="4"/>
      <c r="E48" s="9"/>
      <c r="F48" s="4"/>
      <c r="G48" s="4"/>
    </row>
    <row r="49" spans="1:7">
      <c r="A49" s="4"/>
      <c r="B49" s="4"/>
      <c r="C49" s="4"/>
      <c r="D49" s="4"/>
      <c r="E49" s="9"/>
      <c r="F49" s="4"/>
      <c r="G49" s="4"/>
    </row>
    <row r="50" spans="1:7">
      <c r="A50" s="4"/>
      <c r="B50" s="4"/>
      <c r="C50" s="4"/>
      <c r="D50" s="4"/>
      <c r="E50" s="9"/>
      <c r="F50" s="4"/>
      <c r="G50" s="4"/>
    </row>
    <row r="51" spans="1:7">
      <c r="A51" s="4"/>
      <c r="B51" s="4"/>
      <c r="C51" s="4"/>
      <c r="D51" s="4"/>
      <c r="E51" s="9"/>
      <c r="F51" s="4"/>
      <c r="G51" s="4"/>
    </row>
    <row r="52" spans="1:7">
      <c r="A52" s="4"/>
      <c r="B52" s="4"/>
      <c r="C52" s="4"/>
      <c r="D52" s="4"/>
      <c r="E52" s="9"/>
      <c r="F52" s="4"/>
      <c r="G52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view="pageBreakPreview" zoomScaleNormal="100" workbookViewId="0">
      <selection activeCell="E13" sqref="E13"/>
    </sheetView>
  </sheetViews>
  <sheetFormatPr defaultColWidth="13.125" defaultRowHeight="16.8"/>
  <cols>
    <col min="1" max="16384" width="13.125" style="1"/>
  </cols>
  <sheetData>
    <row r="1" ht="15" customHeight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0</v>
      </c>
      <c r="I1" s="3" t="s">
        <v>1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</row>
    <row r="2" ht="15" customHeight="1" spans="1:14">
      <c r="A2" s="2"/>
      <c r="B2" s="3"/>
      <c r="C2" s="3"/>
      <c r="D2" s="3"/>
      <c r="E2" s="3"/>
      <c r="F2" s="3"/>
      <c r="G2" s="3"/>
      <c r="H2" s="2"/>
      <c r="I2" s="3"/>
      <c r="J2" s="3"/>
      <c r="K2" s="3"/>
      <c r="L2" s="3"/>
      <c r="M2" s="3"/>
      <c r="N2" s="3"/>
    </row>
    <row r="3" ht="15" customHeight="1" spans="1:14">
      <c r="A3" s="4">
        <v>0.5</v>
      </c>
      <c r="B3" s="5" t="s">
        <v>7</v>
      </c>
      <c r="D3" s="6">
        <f ca="1" t="shared" ref="D3:D23" si="0">RANDBETWEEN(190,250)*-0.01</f>
        <v>-2.12</v>
      </c>
      <c r="E3" s="7">
        <f t="shared" ref="E3:E23" si="1">F3-F4</f>
        <v>25.96</v>
      </c>
      <c r="F3" s="8">
        <f>初始!F2+初始!I2</f>
        <v>226.53</v>
      </c>
      <c r="G3" s="7">
        <f>-E3</f>
        <v>-25.96</v>
      </c>
    </row>
    <row r="4" ht="15" customHeight="1" spans="1:14">
      <c r="A4" s="4">
        <v>1</v>
      </c>
      <c r="B4" s="5"/>
      <c r="D4" s="6">
        <f ca="1" t="shared" si="0"/>
        <v>-2.5</v>
      </c>
      <c r="E4" s="7">
        <f t="shared" si="1"/>
        <v>22.375</v>
      </c>
      <c r="F4" s="8">
        <f>初始!F3+初始!I3</f>
        <v>200.57</v>
      </c>
      <c r="G4" s="7">
        <f>G3-E4</f>
        <v>-48.335</v>
      </c>
    </row>
    <row r="5" ht="15" customHeight="1" spans="1:14">
      <c r="A5" s="4">
        <v>1.5</v>
      </c>
      <c r="B5" s="5"/>
      <c r="D5" s="6">
        <f ca="1" t="shared" si="0"/>
        <v>-2.41</v>
      </c>
      <c r="E5" s="7">
        <f t="shared" si="1"/>
        <v>18.42</v>
      </c>
      <c r="F5" s="8">
        <f>初始!F4+初始!I4</f>
        <v>178.195</v>
      </c>
      <c r="G5" s="7">
        <f t="shared" ref="G5:G24" si="2">G4-E5</f>
        <v>-66.755</v>
      </c>
    </row>
    <row r="6" ht="15" customHeight="1" spans="1:14">
      <c r="A6" s="4">
        <v>2</v>
      </c>
      <c r="B6" s="5"/>
      <c r="D6" s="6">
        <f ca="1" t="shared" si="0"/>
        <v>-2.31</v>
      </c>
      <c r="E6" s="7">
        <f t="shared" si="1"/>
        <v>11.63</v>
      </c>
      <c r="F6" s="8">
        <f>初始!F5+初始!I5</f>
        <v>159.775</v>
      </c>
      <c r="G6" s="7">
        <f t="shared" si="2"/>
        <v>-78.385</v>
      </c>
    </row>
    <row r="7" ht="15" customHeight="1" spans="1:14">
      <c r="A7" s="4">
        <v>2.5</v>
      </c>
      <c r="B7" s="5"/>
      <c r="D7" s="6">
        <f ca="1" t="shared" si="0"/>
        <v>-2.31</v>
      </c>
      <c r="E7" s="7">
        <f t="shared" si="1"/>
        <v>10.015</v>
      </c>
      <c r="F7" s="8">
        <f>初始!F6+初始!I6</f>
        <v>148.145</v>
      </c>
      <c r="G7" s="7">
        <f t="shared" si="2"/>
        <v>-88.4</v>
      </c>
    </row>
    <row r="8" ht="15" customHeight="1" spans="1:14">
      <c r="A8" s="4">
        <v>3</v>
      </c>
      <c r="B8" s="5"/>
      <c r="D8" s="6">
        <f ca="1" t="shared" si="0"/>
        <v>-2.44</v>
      </c>
      <c r="E8" s="7">
        <f t="shared" si="1"/>
        <v>8.755</v>
      </c>
      <c r="F8" s="8">
        <f>初始!F7+初始!I7</f>
        <v>138.13</v>
      </c>
      <c r="G8" s="7">
        <f t="shared" si="2"/>
        <v>-97.155</v>
      </c>
    </row>
    <row r="9" ht="15" customHeight="1" spans="1:14">
      <c r="A9" s="4">
        <v>3.5</v>
      </c>
      <c r="B9" s="5"/>
      <c r="D9" s="6">
        <f ca="1" t="shared" si="0"/>
        <v>-2.31</v>
      </c>
      <c r="E9" s="7">
        <f t="shared" si="1"/>
        <v>9.05500000000001</v>
      </c>
      <c r="F9" s="8">
        <f>初始!F8+初始!I8</f>
        <v>129.375</v>
      </c>
      <c r="G9" s="7">
        <f t="shared" si="2"/>
        <v>-106.21</v>
      </c>
    </row>
    <row r="10" ht="15" customHeight="1" spans="1:14">
      <c r="A10" s="4">
        <v>4</v>
      </c>
      <c r="B10" s="5"/>
      <c r="D10" s="6">
        <f ca="1" t="shared" si="0"/>
        <v>-2.28</v>
      </c>
      <c r="E10" s="7">
        <f t="shared" si="1"/>
        <v>8.535</v>
      </c>
      <c r="F10" s="8">
        <f>初始!F9+初始!I9</f>
        <v>120.32</v>
      </c>
      <c r="G10" s="7">
        <f t="shared" si="2"/>
        <v>-114.745</v>
      </c>
    </row>
    <row r="11" ht="15" customHeight="1" spans="1:14">
      <c r="A11" s="4">
        <v>4.5</v>
      </c>
      <c r="B11" s="5"/>
      <c r="D11" s="6">
        <f ca="1" t="shared" si="0"/>
        <v>-1.96</v>
      </c>
      <c r="E11" s="7">
        <f t="shared" si="1"/>
        <v>8.11999999999999</v>
      </c>
      <c r="F11" s="8">
        <f>初始!F10+初始!I10</f>
        <v>111.785</v>
      </c>
      <c r="G11" s="7">
        <f t="shared" si="2"/>
        <v>-122.865</v>
      </c>
    </row>
    <row r="12" ht="15" customHeight="1" spans="1:14">
      <c r="A12" s="4">
        <v>5</v>
      </c>
      <c r="B12" s="5"/>
      <c r="C12" s="4"/>
      <c r="D12" s="6">
        <f ca="1" t="shared" si="0"/>
        <v>-2.28</v>
      </c>
      <c r="E12" s="7">
        <f t="shared" si="1"/>
        <v>5.74000000000001</v>
      </c>
      <c r="F12" s="8">
        <f>初始!F11+初始!I11</f>
        <v>103.665</v>
      </c>
      <c r="G12" s="7">
        <f t="shared" si="2"/>
        <v>-128.605</v>
      </c>
    </row>
    <row r="13" ht="15" customHeight="1" spans="1:14">
      <c r="A13" s="4">
        <v>5.5</v>
      </c>
      <c r="B13" s="5"/>
      <c r="C13" s="4"/>
      <c r="D13" s="6">
        <f ca="1" t="shared" si="0"/>
        <v>-1.92</v>
      </c>
      <c r="E13" s="7">
        <f t="shared" si="1"/>
        <v>7.38499999999999</v>
      </c>
      <c r="F13" s="8">
        <f>初始!F12+初始!I12</f>
        <v>97.925</v>
      </c>
      <c r="G13" s="7">
        <f t="shared" si="2"/>
        <v>-135.99</v>
      </c>
    </row>
    <row r="14" ht="15" customHeight="1" spans="1:14">
      <c r="A14" s="4">
        <v>6</v>
      </c>
      <c r="B14" s="5"/>
      <c r="C14" s="4"/>
      <c r="D14" s="6">
        <f ca="1" t="shared" si="0"/>
        <v>-2.33</v>
      </c>
      <c r="E14" s="7">
        <f t="shared" si="1"/>
        <v>12.1</v>
      </c>
      <c r="F14" s="8">
        <f>初始!F13+初始!I13</f>
        <v>90.54</v>
      </c>
      <c r="G14" s="7">
        <f t="shared" si="2"/>
        <v>-148.09</v>
      </c>
    </row>
    <row r="15" ht="15" customHeight="1" spans="1:14">
      <c r="A15" s="4">
        <v>6.5</v>
      </c>
      <c r="B15" s="5"/>
      <c r="C15" s="4"/>
      <c r="D15" s="6">
        <f ca="1" t="shared" si="0"/>
        <v>-2.41</v>
      </c>
      <c r="E15" s="7">
        <f t="shared" si="1"/>
        <v>9.8</v>
      </c>
      <c r="F15" s="8">
        <f>初始!F14+初始!I14</f>
        <v>78.44</v>
      </c>
      <c r="G15" s="7">
        <f t="shared" si="2"/>
        <v>-157.89</v>
      </c>
    </row>
    <row r="16" ht="15" customHeight="1" spans="1:14">
      <c r="A16" s="4">
        <v>7</v>
      </c>
      <c r="B16" s="5"/>
      <c r="C16" s="4"/>
      <c r="D16" s="6">
        <f ca="1" t="shared" si="0"/>
        <v>-2.28</v>
      </c>
      <c r="E16" s="7">
        <f t="shared" si="1"/>
        <v>9.275</v>
      </c>
      <c r="F16" s="8">
        <f>初始!F15+初始!I15</f>
        <v>68.64</v>
      </c>
      <c r="G16" s="7">
        <f t="shared" si="2"/>
        <v>-167.165</v>
      </c>
    </row>
    <row r="17" ht="15" customHeight="1" spans="1:7">
      <c r="A17" s="4">
        <v>7.5</v>
      </c>
      <c r="B17" s="5"/>
      <c r="C17" s="4"/>
      <c r="D17" s="6">
        <f ca="1" t="shared" si="0"/>
        <v>-2.2</v>
      </c>
      <c r="E17" s="7">
        <f t="shared" si="1"/>
        <v>9.675</v>
      </c>
      <c r="F17" s="8">
        <f>初始!F16+初始!I16</f>
        <v>59.365</v>
      </c>
      <c r="G17" s="7">
        <f t="shared" si="2"/>
        <v>-176.84</v>
      </c>
    </row>
    <row r="18" ht="15" customHeight="1" spans="1:7">
      <c r="A18" s="4">
        <v>8</v>
      </c>
      <c r="B18" s="5"/>
      <c r="C18" s="4"/>
      <c r="D18" s="6">
        <f ca="1" t="shared" si="0"/>
        <v>-2.31</v>
      </c>
      <c r="E18" s="7">
        <f t="shared" si="1"/>
        <v>16.465</v>
      </c>
      <c r="F18" s="8">
        <f>初始!F17+初始!I17</f>
        <v>49.69</v>
      </c>
      <c r="G18" s="7">
        <f t="shared" si="2"/>
        <v>-193.305</v>
      </c>
    </row>
    <row r="19" ht="15" customHeight="1" spans="1:7">
      <c r="A19" s="4">
        <v>8.5</v>
      </c>
      <c r="B19" s="5"/>
      <c r="C19" s="4"/>
      <c r="D19" s="6">
        <f ca="1" t="shared" si="0"/>
        <v>-2.41</v>
      </c>
      <c r="E19" s="7">
        <f t="shared" si="1"/>
        <v>11.025</v>
      </c>
      <c r="F19" s="8">
        <f>初始!F18+初始!I18</f>
        <v>33.225</v>
      </c>
      <c r="G19" s="7">
        <f t="shared" si="2"/>
        <v>-204.33</v>
      </c>
    </row>
    <row r="20" ht="15" customHeight="1" spans="1:7">
      <c r="A20" s="4">
        <v>9</v>
      </c>
      <c r="B20" s="5"/>
      <c r="C20" s="4"/>
      <c r="D20" s="6">
        <f ca="1" t="shared" si="0"/>
        <v>-2.15</v>
      </c>
      <c r="E20" s="7">
        <f t="shared" si="1"/>
        <v>5.51</v>
      </c>
      <c r="F20" s="8">
        <f>初始!F19+初始!I19</f>
        <v>22.2</v>
      </c>
      <c r="G20" s="7">
        <f t="shared" si="2"/>
        <v>-209.84</v>
      </c>
    </row>
    <row r="21" ht="15" customHeight="1" spans="1:7">
      <c r="A21" s="4">
        <v>9.5</v>
      </c>
      <c r="B21" s="5"/>
      <c r="C21" s="4"/>
      <c r="D21" s="6">
        <f ca="1" t="shared" si="0"/>
        <v>-2.44</v>
      </c>
      <c r="E21" s="7">
        <f t="shared" si="1"/>
        <v>16.69</v>
      </c>
      <c r="F21" s="8">
        <f>初始!F20+初始!I20</f>
        <v>16.69</v>
      </c>
      <c r="G21" s="7">
        <f t="shared" si="2"/>
        <v>-226.53</v>
      </c>
    </row>
    <row r="22" ht="15" customHeight="1" spans="1:7">
      <c r="A22" s="4"/>
      <c r="B22" s="4"/>
      <c r="C22" s="4"/>
      <c r="D22" s="6"/>
      <c r="E22" s="7"/>
      <c r="F22" s="8"/>
      <c r="G22" s="7"/>
    </row>
    <row r="23" ht="15" customHeight="1" spans="1:7">
      <c r="A23" s="4"/>
      <c r="B23" s="4"/>
      <c r="C23" s="4"/>
      <c r="D23" s="6"/>
      <c r="E23" s="7"/>
      <c r="F23" s="8"/>
      <c r="G23" s="7"/>
    </row>
    <row r="24" ht="15" customHeight="1" spans="1:7">
      <c r="A24" s="4"/>
      <c r="B24" s="4"/>
      <c r="C24" s="4"/>
      <c r="D24" s="6"/>
      <c r="E24" s="7"/>
      <c r="F24" s="8"/>
      <c r="G24" s="7"/>
    </row>
    <row r="25" ht="15" customHeight="1" spans="1:7">
      <c r="A25" s="4"/>
      <c r="B25" s="4"/>
      <c r="C25" s="4"/>
      <c r="D25" s="4"/>
    </row>
    <row r="26" ht="15" customHeight="1" spans="1:7">
      <c r="A26" s="4"/>
      <c r="B26" s="4"/>
      <c r="C26" s="4"/>
      <c r="D26" s="4"/>
      <c r="E26" s="9"/>
      <c r="F26" s="4"/>
      <c r="G26" s="4"/>
    </row>
    <row r="27" ht="15" customHeight="1" spans="1:7">
      <c r="A27" s="4"/>
      <c r="B27" s="4"/>
      <c r="C27" s="4"/>
      <c r="D27" s="4"/>
      <c r="E27" s="9"/>
      <c r="F27" s="4"/>
      <c r="G27" s="4"/>
    </row>
    <row r="28" ht="15" customHeight="1" spans="1:7">
      <c r="A28" s="4"/>
      <c r="B28" s="4"/>
      <c r="C28" s="4"/>
      <c r="D28" s="4"/>
      <c r="E28" s="9"/>
      <c r="F28" s="4"/>
      <c r="G28" s="4"/>
    </row>
    <row r="29" ht="15" customHeight="1" spans="1:7">
      <c r="A29" s="4"/>
      <c r="B29" s="4"/>
      <c r="C29" s="4"/>
      <c r="D29" s="7"/>
      <c r="E29" s="10"/>
      <c r="F29" s="7"/>
      <c r="G29" s="4"/>
    </row>
    <row r="30" ht="15" customHeight="1" spans="1:7">
      <c r="A30" s="4"/>
      <c r="B30" s="4"/>
      <c r="C30" s="4"/>
      <c r="D30" s="4"/>
      <c r="E30" s="9"/>
      <c r="F30" s="4"/>
      <c r="G30" s="4"/>
    </row>
    <row r="31" ht="15" customHeight="1" spans="1:7">
      <c r="A31" s="4"/>
      <c r="B31" s="4"/>
      <c r="C31" s="4"/>
      <c r="D31" s="4"/>
      <c r="E31" s="9"/>
      <c r="F31" s="4"/>
      <c r="G31" s="4"/>
    </row>
    <row r="32" ht="15" customHeight="1" spans="1:7">
      <c r="A32" s="4"/>
      <c r="B32" s="4"/>
      <c r="C32" s="4"/>
      <c r="D32" s="4"/>
      <c r="E32" s="9"/>
      <c r="F32" s="4"/>
      <c r="G32" s="4"/>
    </row>
    <row r="33" ht="15" customHeight="1" spans="1:7">
      <c r="A33" s="4"/>
      <c r="B33" s="4"/>
      <c r="C33" s="4"/>
      <c r="D33" s="4"/>
      <c r="E33" s="9"/>
      <c r="F33" s="4"/>
      <c r="G33" s="4"/>
    </row>
    <row r="34" ht="15" customHeight="1" spans="1:7">
      <c r="A34" s="4"/>
      <c r="B34" s="4"/>
      <c r="C34" s="4"/>
      <c r="D34" s="4"/>
      <c r="E34" s="9"/>
      <c r="F34" s="4"/>
      <c r="G34" s="4"/>
    </row>
    <row r="35" ht="15" customHeight="1" spans="1:7">
      <c r="A35" s="4"/>
      <c r="B35" s="4"/>
      <c r="C35" s="4"/>
      <c r="D35" s="4"/>
      <c r="E35" s="9"/>
      <c r="F35" s="4"/>
      <c r="G35" s="4"/>
    </row>
    <row r="36" ht="15" customHeight="1" spans="1:7">
      <c r="A36" s="4"/>
      <c r="B36" s="4"/>
      <c r="C36" s="4"/>
      <c r="D36" s="4"/>
      <c r="E36" s="9"/>
      <c r="F36" s="4"/>
      <c r="G36" s="4"/>
    </row>
    <row r="37" ht="15" customHeight="1" spans="1:7">
      <c r="A37" s="4"/>
      <c r="B37" s="4"/>
      <c r="C37" s="4"/>
      <c r="D37" s="4"/>
      <c r="E37" s="9"/>
      <c r="F37" s="4"/>
      <c r="G37" s="4"/>
    </row>
    <row r="38" ht="15" customHeight="1" spans="1:7">
      <c r="A38" s="4"/>
      <c r="B38" s="4"/>
      <c r="C38" s="4"/>
      <c r="D38" s="4"/>
      <c r="E38" s="9"/>
      <c r="F38" s="4"/>
      <c r="G38" s="4"/>
    </row>
    <row r="39" ht="15" customHeight="1" spans="1:7">
      <c r="A39" s="4"/>
      <c r="B39" s="4"/>
      <c r="C39" s="4"/>
      <c r="D39" s="4"/>
      <c r="E39" s="9"/>
      <c r="F39" s="4"/>
      <c r="G39" s="4"/>
    </row>
    <row r="40" ht="15" customHeight="1" spans="1:7">
      <c r="A40" s="4"/>
      <c r="B40" s="4"/>
      <c r="C40" s="4"/>
      <c r="D40" s="4"/>
      <c r="E40" s="9"/>
      <c r="F40" s="4"/>
      <c r="G40" s="4"/>
    </row>
    <row r="41" ht="15" customHeight="1" spans="1:7">
      <c r="A41" s="4"/>
      <c r="B41" s="4"/>
      <c r="C41" s="4"/>
      <c r="D41" s="4"/>
      <c r="E41" s="9"/>
      <c r="F41" s="4"/>
      <c r="G41" s="4"/>
    </row>
    <row r="42" ht="15" customHeight="1" spans="1:7">
      <c r="A42" s="4"/>
      <c r="B42" s="4"/>
      <c r="C42" s="4"/>
      <c r="D42" s="4"/>
      <c r="E42" s="9"/>
      <c r="F42" s="4"/>
      <c r="G42" s="4"/>
    </row>
    <row r="43" ht="15" customHeight="1" spans="1:7">
      <c r="A43" s="4"/>
      <c r="B43" s="4"/>
      <c r="C43" s="4"/>
      <c r="D43" s="4"/>
      <c r="E43" s="9"/>
      <c r="F43" s="4"/>
      <c r="G43" s="4"/>
    </row>
    <row r="44" ht="15" customHeight="1" spans="1:7">
      <c r="A44" s="4"/>
      <c r="B44" s="4"/>
      <c r="C44" s="4"/>
      <c r="D44" s="4"/>
      <c r="E44" s="9"/>
      <c r="F44" s="4"/>
      <c r="G44" s="4"/>
    </row>
    <row r="45" ht="15" customHeight="1" spans="1:7">
      <c r="A45" s="4"/>
      <c r="B45" s="4"/>
      <c r="C45" s="4"/>
      <c r="D45" s="4"/>
      <c r="E45" s="9"/>
      <c r="F45" s="4"/>
      <c r="G45" s="4"/>
    </row>
    <row r="46" ht="15" customHeight="1" spans="1:7">
      <c r="A46" s="4"/>
      <c r="B46" s="4"/>
      <c r="C46" s="4"/>
      <c r="D46" s="4"/>
      <c r="E46" s="9"/>
      <c r="F46" s="4"/>
      <c r="G46" s="4"/>
    </row>
    <row r="47" ht="15" customHeight="1" spans="1:7">
      <c r="A47" s="4"/>
      <c r="B47" s="4"/>
      <c r="C47" s="4"/>
      <c r="D47" s="4"/>
      <c r="E47" s="9"/>
      <c r="F47" s="4"/>
      <c r="G47" s="4"/>
    </row>
    <row r="48" ht="15" customHeight="1" spans="1:7">
      <c r="A48" s="4"/>
      <c r="B48" s="4"/>
      <c r="C48" s="4"/>
      <c r="D48" s="4"/>
      <c r="E48" s="9"/>
      <c r="F48" s="4"/>
      <c r="G48" s="4"/>
    </row>
    <row r="49" ht="15" customHeight="1" spans="1:7">
      <c r="A49" s="4"/>
      <c r="B49" s="4"/>
      <c r="C49" s="4"/>
      <c r="D49" s="4"/>
      <c r="E49" s="9"/>
      <c r="F49" s="4"/>
      <c r="G49" s="4"/>
    </row>
    <row r="50" ht="15" customHeight="1" spans="1:7">
      <c r="A50" s="4"/>
      <c r="B50" s="4"/>
      <c r="C50" s="4"/>
      <c r="D50" s="4"/>
      <c r="E50" s="9"/>
      <c r="F50" s="4"/>
      <c r="G50" s="4"/>
    </row>
    <row r="51" ht="15" customHeight="1" spans="1:7">
      <c r="A51" s="4"/>
      <c r="B51" s="4"/>
      <c r="C51" s="4"/>
      <c r="D51" s="4"/>
      <c r="E51" s="9"/>
      <c r="F51" s="4"/>
      <c r="G51" s="4"/>
    </row>
    <row r="52" ht="15" customHeight="1" spans="1:7">
      <c r="A52" s="4"/>
      <c r="B52" s="4"/>
      <c r="C52" s="4"/>
      <c r="D52" s="4"/>
      <c r="E52" s="9"/>
      <c r="F52" s="4"/>
      <c r="G52" s="4"/>
    </row>
    <row r="53" ht="15" customHeight="1" spans="1:7">
      <c r="A53" s="4"/>
      <c r="B53" s="4"/>
      <c r="C53" s="4"/>
      <c r="D53" s="4"/>
      <c r="E53" s="9"/>
      <c r="F53" s="4"/>
      <c r="G53" s="4"/>
    </row>
    <row r="54" ht="15" customHeight="1" spans="1:7">
      <c r="A54" s="4"/>
      <c r="B54" s="4"/>
      <c r="C54" s="4"/>
      <c r="D54" s="4"/>
      <c r="E54" s="9"/>
      <c r="F54" s="4"/>
      <c r="G54" s="4"/>
    </row>
  </sheetData>
  <mergeCells count="15">
    <mergeCell ref="A1:A2"/>
    <mergeCell ref="B1:B2"/>
    <mergeCell ref="B3:B2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rintOptions horizontalCentered="1" verticalCentered="1"/>
  <pageMargins left="0.393700787401575" right="0.393700787401575" top="0.748031496062992" bottom="0.748031496062992" header="0.31496062992126" footer="0.31496062992126"/>
  <pageSetup paperSize="9" orientation="portrait"/>
  <headerFooter>
    <oddFooter>&amp;L测量：&amp;C计算：&amp;R第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初始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yooeo</dc:creator>
  <cp:lastModifiedBy>WPS_396323367</cp:lastModifiedBy>
  <dcterms:created xsi:type="dcterms:W3CDTF">2015-06-06T02:19:00Z</dcterms:created>
  <cp:lastPrinted>2025-11-12T18:23:00Z</cp:lastPrinted>
  <dcterms:modified xsi:type="dcterms:W3CDTF">2025-11-28T21:37:55Z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AE07CC05EBB1435CBE4DA0EFF28E6984_12</vt:lpwstr>
  </property>
  <property fmtid="{D5CDD505-2E9C-101B-9397-08002B2CF9AE}" pid="3" name="KSOProductBuildVer">
    <vt:lpwstr>2052-12.1.23540.23540</vt:lpwstr>
  </property>
</Properties>
</file>